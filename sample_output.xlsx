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ورودی‌های معامله" sheetId="1" state="visible" r:id="rId1"/>
    <sheet name="هزینه‌های گمرکی و واردات" sheetId="2" state="visible" r:id="rId2"/>
    <sheet name="محاسبات ارزش افزوده" sheetId="3" state="visible" r:id="rId3"/>
    <sheet name="سناریوهای مالیات عملکرد" sheetId="4" state="visible" r:id="rId4"/>
    <sheet name="چک‌لیست ریسک" sheetId="5" state="visible" r:id="rId5"/>
    <sheet name="محاسبه وثیقه پیشنهادی" sheetId="6" state="visible" r:id="rId6"/>
    <sheet name="خلاصه تصمیم مدیریت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  <color rgb="009C0006"/>
    </font>
    <font>
      <b val="1"/>
      <color rgb="00173F5F"/>
    </font>
  </fonts>
  <fills count="6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/>
    </xf>
    <xf numFmtId="3" fontId="0" fillId="0" borderId="1" applyAlignment="1" pivotButton="0" quotePrefix="0" xfId="0">
      <alignment horizontal="right" vertical="top" wrapText="1"/>
    </xf>
    <xf numFmtId="4" fontId="0" fillId="0" borderId="1" applyAlignment="1" pivotButton="0" quotePrefix="0" xfId="0">
      <alignment horizontal="right" vertical="top" wrapText="1"/>
    </xf>
    <xf numFmtId="9" fontId="0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3" fontId="2" fillId="3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6" customWidth="1" min="2" max="2"/>
    <col width="42" customWidth="1" min="3" max="3"/>
  </cols>
  <sheetData>
    <row r="1" ht="28" customHeight="1">
      <c r="A1" s="1" t="inlineStr">
        <is>
          <t>عنوان</t>
        </is>
      </c>
      <c r="B1" s="1" t="inlineStr">
        <is>
          <t>مقدار</t>
        </is>
      </c>
      <c r="C1" s="1" t="inlineStr">
        <is>
          <t>واحد/توضیح</t>
        </is>
      </c>
    </row>
    <row r="2">
      <c r="A2" s="2" t="inlineStr">
        <is>
          <t>ارزش واردات ارزی</t>
        </is>
      </c>
      <c r="B2" s="3" t="n">
        <v>100000</v>
      </c>
      <c r="C2" s="2" t="inlineStr">
        <is>
          <t>دلار آمریکا</t>
        </is>
      </c>
    </row>
    <row r="3">
      <c r="A3" s="2" t="inlineStr">
        <is>
          <t>نوع ارز</t>
        </is>
      </c>
      <c r="B3" s="2" t="inlineStr">
        <is>
          <t>USD</t>
        </is>
      </c>
      <c r="C3" s="2" t="inlineStr"/>
    </row>
    <row r="4">
      <c r="A4" s="2" t="inlineStr">
        <is>
          <t>نرخ تبدیل</t>
        </is>
      </c>
      <c r="B4" s="4" t="n">
        <v>65000</v>
      </c>
      <c r="C4" s="2" t="inlineStr">
        <is>
          <t>تومان برای هر واحد ارز</t>
        </is>
      </c>
    </row>
    <row r="5">
      <c r="A5" s="2" t="inlineStr">
        <is>
          <t>ارزش ریالی واردات</t>
        </is>
      </c>
      <c r="B5" s="3">
        <f>B2*B4</f>
        <v/>
      </c>
      <c r="C5" s="2" t="inlineStr">
        <is>
          <t>فرمول: ارزش ارزی × نرخ تبدیل</t>
        </is>
      </c>
    </row>
    <row r="6">
      <c r="A6" s="2" t="inlineStr">
        <is>
          <t>HS Code</t>
        </is>
      </c>
      <c r="B6" s="2" t="inlineStr">
        <is>
          <t>85176290</t>
        </is>
      </c>
      <c r="C6" s="2" t="inlineStr">
        <is>
          <t>نمونه: تجهیزات ارتباطی</t>
        </is>
      </c>
    </row>
    <row r="7">
      <c r="A7" s="2" t="inlineStr">
        <is>
          <t>شرح کالا</t>
        </is>
      </c>
      <c r="B7" s="2" t="inlineStr">
        <is>
          <t>تجهیزات شبکه و مخابرات</t>
        </is>
      </c>
      <c r="C7" s="2" t="inlineStr"/>
    </row>
    <row r="8">
      <c r="A8" s="2" t="inlineStr">
        <is>
          <t>کشور مبدأ</t>
        </is>
      </c>
      <c r="B8" s="2" t="inlineStr">
        <is>
          <t>چین</t>
        </is>
      </c>
      <c r="C8" s="2" t="inlineStr"/>
    </row>
    <row r="9">
      <c r="A9" s="2" t="inlineStr">
        <is>
          <t>مبلغ فاکتور فروش داخلی</t>
        </is>
      </c>
      <c r="B9" s="3" t="n">
        <v>8500000000</v>
      </c>
      <c r="C9" s="2" t="inlineStr">
        <is>
          <t>تومان، قبل از VAT</t>
        </is>
      </c>
    </row>
    <row r="10">
      <c r="A10" s="2" t="inlineStr">
        <is>
          <t>کارمزد هر دلار برای صاحب کارت</t>
        </is>
      </c>
      <c r="B10" s="3" t="n">
        <v>2500</v>
      </c>
      <c r="C10" s="2" t="inlineStr">
        <is>
          <t>تومان</t>
        </is>
      </c>
    </row>
    <row r="11">
      <c r="A11" s="2" t="inlineStr">
        <is>
          <t>میزان منفعت رفع تعهد ارزی</t>
        </is>
      </c>
      <c r="B11" s="4" t="n">
        <v>100000000</v>
      </c>
      <c r="C11" s="2" t="inlineStr">
        <is>
          <t>تومان</t>
        </is>
      </c>
    </row>
    <row r="12">
      <c r="A12" s="2" t="inlineStr">
        <is>
          <t>آیا کالا معاف از VAT است؟</t>
        </is>
      </c>
      <c r="B12" s="2" t="inlineStr">
        <is>
          <t>خیر</t>
        </is>
      </c>
      <c r="C12" s="2" t="inlineStr"/>
    </row>
    <row r="13">
      <c r="A13" s="2" t="inlineStr">
        <is>
          <t>آیا مجوز خاص نیاز دارد؟</t>
        </is>
      </c>
      <c r="B13" s="2" t="inlineStr">
        <is>
          <t>بله</t>
        </is>
      </c>
      <c r="C13" s="2" t="inlineStr">
        <is>
          <t>مجوز ثبت سفارش/استاندارد/صمت بررسی شود</t>
        </is>
      </c>
    </row>
    <row r="14">
      <c r="A14" s="2" t="inlineStr">
        <is>
          <t>مبلغ مورد انتظار رفع تعهد</t>
        </is>
      </c>
      <c r="B14" s="3" t="n">
        <v>4000000000</v>
      </c>
      <c r="C14" s="2" t="inlineStr">
        <is>
          <t>تومان</t>
        </is>
      </c>
    </row>
    <row r="15">
      <c r="A15" s="2" t="inlineStr">
        <is>
          <t>آیا VAT فروش داخلی جداگانه توسط خریدار پرداخت می‌شود؟</t>
        </is>
      </c>
      <c r="B15" s="2" t="inlineStr">
        <is>
          <t>بله</t>
        </is>
      </c>
      <c r="C15" s="2" t="inlineStr"/>
    </row>
  </sheetData>
  <dataValidations count="1">
    <dataValidation sqref="B12:B13 B15" showDropDown="0" showInputMessage="0" showErrorMessage="0" allowBlank="0" errorTitle="ورودی نامعتبر" error="فقط یکی از گزینه‌های بله یا خیر را انتخاب کنید." promptTitle="انتخاب مجاز" prompt="بله یا خیر را انتخاب کنید." type="list">
      <formula1>"بله,خیر"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48" customWidth="1" min="3" max="3"/>
    <col width="41" customWidth="1" min="4" max="4"/>
  </cols>
  <sheetData>
    <row r="1" ht="28" customHeight="1">
      <c r="A1" s="1" t="inlineStr">
        <is>
          <t>شرح</t>
        </is>
      </c>
      <c r="B1" s="1" t="inlineStr">
        <is>
          <t>مبنا/نرخ</t>
        </is>
      </c>
      <c r="C1" s="1" t="inlineStr">
        <is>
          <t>مبلغ تومان</t>
        </is>
      </c>
      <c r="D1" s="1" t="inlineStr">
        <is>
          <t>توضیح/فرمول</t>
        </is>
      </c>
    </row>
    <row r="2">
      <c r="A2" s="2" t="inlineStr">
        <is>
          <t>قیمت کالا</t>
        </is>
      </c>
      <c r="B2" s="5">
        <f>'ورودی‌های معامله'!B2</f>
        <v/>
      </c>
      <c r="C2" s="3">
        <f>'ورودی‌های معامله'!B2*'ورودی‌های معامله'!B4</f>
        <v/>
      </c>
      <c r="D2" s="2" t="inlineStr">
        <is>
          <t>ارزش کالا به نرخ تبدیل</t>
        </is>
      </c>
    </row>
    <row r="3">
      <c r="A3" s="2" t="inlineStr">
        <is>
          <t>حمل</t>
        </is>
      </c>
      <c r="B3" s="4" t="n">
        <v>3000</v>
      </c>
      <c r="C3" s="2">
        <f>B3*'ورودی‌های معامله'!B4</f>
        <v/>
      </c>
      <c r="D3" s="2" t="inlineStr">
        <is>
          <t>هزینه حمل خارجی به ارز</t>
        </is>
      </c>
    </row>
    <row r="4">
      <c r="A4" s="2" t="inlineStr">
        <is>
          <t>بیمه</t>
        </is>
      </c>
      <c r="B4" s="4" t="n">
        <v>500</v>
      </c>
      <c r="C4" s="2">
        <f>B4*'ورودی‌های معامله'!B4</f>
        <v/>
      </c>
      <c r="D4" s="2" t="inlineStr">
        <is>
          <t>هزینه بیمه خارجی به ارز</t>
        </is>
      </c>
    </row>
    <row r="5">
      <c r="A5" s="2" t="inlineStr">
        <is>
          <t>کارمزد حواله</t>
        </is>
      </c>
      <c r="B5" s="5" t="n">
        <v>0.01</v>
      </c>
      <c r="C5" s="3">
        <f>SUM(C2:C4)*B5</f>
        <v/>
      </c>
      <c r="D5" s="2" t="inlineStr">
        <is>
          <t>درصد از جمع کالا، حمل و بیمه</t>
        </is>
      </c>
    </row>
    <row r="6">
      <c r="A6" s="2" t="inlineStr">
        <is>
          <t>اسپرد تبدیل ارز</t>
        </is>
      </c>
      <c r="B6" s="5" t="n">
        <v>0.02</v>
      </c>
      <c r="C6" s="3">
        <f>SUM(C2:C4)*B6</f>
        <v/>
      </c>
      <c r="D6" s="2" t="inlineStr">
        <is>
          <t>هزینه اختلاف نرخ خرید/تسویه ارز</t>
        </is>
      </c>
    </row>
    <row r="7">
      <c r="A7" s="2" t="inlineStr">
        <is>
          <t>تعدیل ارزش گمرکی</t>
        </is>
      </c>
      <c r="B7" s="5" t="n">
        <v>0.03</v>
      </c>
      <c r="C7" s="3">
        <f>SUM(C2:C4)*B7</f>
        <v/>
      </c>
      <c r="D7" s="2" t="inlineStr">
        <is>
          <t>افزایش ارزش برای محاسبات گمرکی</t>
        </is>
      </c>
    </row>
    <row r="8">
      <c r="A8" s="2" t="inlineStr">
        <is>
          <t>پایه ارزش گمرکی</t>
        </is>
      </c>
      <c r="B8" s="2" t="inlineStr"/>
      <c r="C8" s="3">
        <f>SUM(C2:C4)+C7</f>
        <v/>
      </c>
      <c r="D8" s="2" t="inlineStr">
        <is>
          <t>پایه محاسبه حقوق ورودی و سود بازرگانی</t>
        </is>
      </c>
    </row>
    <row r="9">
      <c r="A9" s="2" t="inlineStr">
        <is>
          <t>حقوق ورودی</t>
        </is>
      </c>
      <c r="B9" s="5" t="n">
        <v>0.04</v>
      </c>
      <c r="C9" s="2">
        <f>C8*B9</f>
        <v/>
      </c>
      <c r="D9" s="2" t="inlineStr">
        <is>
          <t>نرخ نمونه</t>
        </is>
      </c>
    </row>
    <row r="10">
      <c r="A10" s="2" t="inlineStr">
        <is>
          <t>سود بازرگانی</t>
        </is>
      </c>
      <c r="B10" s="5" t="n">
        <v>0.05</v>
      </c>
      <c r="C10" s="2">
        <f>C8*B10</f>
        <v/>
      </c>
      <c r="D10" s="2" t="inlineStr">
        <is>
          <t>نرخ نمونه</t>
        </is>
      </c>
    </row>
    <row r="11">
      <c r="A11" s="2" t="inlineStr">
        <is>
          <t>سایر عوارض</t>
        </is>
      </c>
      <c r="B11" s="2" t="inlineStr"/>
      <c r="C11" s="4" t="n">
        <v>15000000</v>
      </c>
      <c r="D11" s="2" t="inlineStr">
        <is>
          <t>عوارض متفرقه نمونه</t>
        </is>
      </c>
    </row>
    <row r="12">
      <c r="A12" s="2" t="inlineStr">
        <is>
          <t>هزینه ترخیص</t>
        </is>
      </c>
      <c r="B12" s="2" t="inlineStr"/>
      <c r="C12" s="3" t="n">
        <v>80000000</v>
      </c>
      <c r="D12" s="2" t="inlineStr">
        <is>
          <t>حق‌العمل، تشریفات و خدمات</t>
        </is>
      </c>
    </row>
    <row r="13">
      <c r="A13" s="2" t="inlineStr">
        <is>
          <t>انبارداری</t>
        </is>
      </c>
      <c r="B13" s="2" t="inlineStr"/>
      <c r="C13" s="4" t="n">
        <v>20000000</v>
      </c>
      <c r="D13" s="2" t="inlineStr"/>
    </row>
    <row r="14">
      <c r="A14" s="2" t="inlineStr">
        <is>
          <t>دموراژ</t>
        </is>
      </c>
      <c r="B14" s="2" t="inlineStr"/>
      <c r="C14" s="4" t="n">
        <v>50000000</v>
      </c>
      <c r="D14" s="2" t="inlineStr">
        <is>
          <t>نمونه ریسک تأخیر</t>
        </is>
      </c>
    </row>
    <row r="15">
      <c r="A15" s="2" t="inlineStr">
        <is>
          <t>هزینه‌های بندری</t>
        </is>
      </c>
      <c r="B15" s="2" t="inlineStr"/>
      <c r="C15" s="3" t="n">
        <v>30000000</v>
      </c>
      <c r="D15" s="2" t="inlineStr"/>
    </row>
    <row r="16">
      <c r="A16" s="2" t="inlineStr">
        <is>
          <t>بهای تمام‌شده قبل از VAT</t>
        </is>
      </c>
      <c r="B16" s="2" t="inlineStr"/>
      <c r="C16" s="3">
        <f>SUM(C2:C6)+SUM(C9:C15)</f>
        <v/>
      </c>
      <c r="D16" s="2" t="inlineStr">
        <is>
          <t>بدون VAT واردات</t>
        </is>
      </c>
    </row>
    <row r="17">
      <c r="A17" s="2" t="inlineStr">
        <is>
          <t>بهای تمام‌شده با VAT</t>
        </is>
      </c>
      <c r="B17" s="2" t="inlineStr"/>
      <c r="C17" s="3">
        <f>C16+'محاسبات ارزش افزوده'!C4</f>
        <v/>
      </c>
      <c r="D17" s="2" t="inlineStr">
        <is>
          <t>شامل خروج وجه VAT واردات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58" customWidth="1" min="3" max="3"/>
    <col width="50" customWidth="1" min="4" max="4"/>
  </cols>
  <sheetData>
    <row r="1" ht="28" customHeight="1">
      <c r="A1" s="1" t="inlineStr">
        <is>
          <t>شرح</t>
        </is>
      </c>
      <c r="B1" s="1" t="inlineStr">
        <is>
          <t>نرخ/ورودی</t>
        </is>
      </c>
      <c r="C1" s="1" t="inlineStr">
        <is>
          <t>مبلغ تومان</t>
        </is>
      </c>
      <c r="D1" s="1" t="inlineStr">
        <is>
          <t>توضیح</t>
        </is>
      </c>
    </row>
    <row r="2">
      <c r="A2" s="2" t="inlineStr">
        <is>
          <t>پایه مشمول VAT واردات</t>
        </is>
      </c>
      <c r="B2" s="2" t="inlineStr"/>
      <c r="C2" s="3">
        <f>'هزینه‌های گمرکی و واردات'!C8+'هزینه‌های گمرکی و واردات'!C9+'هزینه‌های گمرکی و واردات'!C10+'هزینه‌های گمرکی و واردات'!C11</f>
        <v/>
      </c>
      <c r="D2" s="2" t="inlineStr">
        <is>
          <t>پایه گمرکی + حقوق ورودی + سود بازرگانی + عوارض</t>
        </is>
      </c>
    </row>
    <row r="3">
      <c r="A3" s="2" t="inlineStr">
        <is>
          <t>نرخ VAT واردات</t>
        </is>
      </c>
      <c r="B3" s="5" t="n">
        <v>0.1</v>
      </c>
      <c r="C3" s="2" t="inlineStr"/>
      <c r="D3" s="2" t="inlineStr">
        <is>
          <t>نرخ نمونه</t>
        </is>
      </c>
    </row>
    <row r="4">
      <c r="A4" s="2" t="inlineStr">
        <is>
          <t>مبلغ VAT واردات</t>
        </is>
      </c>
      <c r="B4" s="2" t="inlineStr"/>
      <c r="C4" s="3">
        <f>IF('ورودی‌های معامله'!B12="بله",0,C2*B3)</f>
        <v/>
      </c>
      <c r="D4" s="2" t="inlineStr">
        <is>
          <t>اگر کالا معاف باشد صفر می‌شود</t>
        </is>
      </c>
    </row>
    <row r="5">
      <c r="A5" s="2" t="inlineStr">
        <is>
          <t>مبلغ فاکتور فروش داخلی</t>
        </is>
      </c>
      <c r="B5" s="2" t="inlineStr"/>
      <c r="C5" s="3">
        <f>'ورودی‌های معامله'!B9</f>
        <v/>
      </c>
      <c r="D5" s="2" t="inlineStr">
        <is>
          <t>مبلغ قبل از VAT</t>
        </is>
      </c>
    </row>
    <row r="6">
      <c r="A6" s="2" t="inlineStr">
        <is>
          <t>نرخ VAT فروش داخلی</t>
        </is>
      </c>
      <c r="B6" s="5" t="n">
        <v>0.1</v>
      </c>
      <c r="C6" s="2" t="inlineStr"/>
      <c r="D6" s="2" t="inlineStr">
        <is>
          <t>نرخ نمونه</t>
        </is>
      </c>
    </row>
    <row r="7">
      <c r="A7" s="2" t="inlineStr">
        <is>
          <t>مبلغ VAT فروش داخلی</t>
        </is>
      </c>
      <c r="B7" s="2" t="inlineStr"/>
      <c r="C7" s="3">
        <f>IF('ورودی‌های معامله'!B12="بله",0,C5*B6)</f>
        <v/>
      </c>
      <c r="D7" s="2" t="inlineStr">
        <is>
          <t>باید در صورتحساب داخلی درج شود</t>
        </is>
      </c>
    </row>
    <row r="8">
      <c r="A8" s="2" t="inlineStr">
        <is>
          <t>طلب VAT صادراتی قبلی</t>
        </is>
      </c>
      <c r="B8" s="2" t="inlineStr"/>
      <c r="C8" s="3" t="n">
        <v>200000000</v>
      </c>
      <c r="D8" s="2" t="inlineStr">
        <is>
          <t>اعتبار/طلب قبلی صاحب کارت</t>
        </is>
      </c>
    </row>
    <row r="9">
      <c r="A9" s="2" t="inlineStr">
        <is>
          <t>خالص VAT قابل پرداخت یا قابل تهاتر</t>
        </is>
      </c>
      <c r="B9" s="2" t="inlineStr"/>
      <c r="C9" s="3">
        <f>C7-C4-C8</f>
        <v/>
      </c>
      <c r="D9" s="2" t="inlineStr">
        <is>
          <t>مثبت: پرداختنی، منفی: قابل تهاتر/اعتبار</t>
        </is>
      </c>
    </row>
    <row r="10">
      <c r="A10" s="6" t="inlineStr">
        <is>
          <t>هشدار VAT</t>
        </is>
      </c>
      <c r="B10" s="6" t="inlineStr"/>
      <c r="C10" s="6" t="inlineStr">
        <is>
          <t>حتی در صورت تهاتر، اگر کالا معاف نباشد، VAT فروش داخلی باید در صورتحساب داخلی درج شود.</t>
        </is>
      </c>
      <c r="D10" s="6" t="inlineStr">
        <is>
          <t>کنترل سامانه مؤدیان و تأیید خریدار ضروری است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49" customWidth="1" min="2" max="2"/>
    <col width="14" customWidth="1" min="3" max="3"/>
    <col width="15" customWidth="1" min="4" max="4"/>
    <col width="58" customWidth="1" min="5" max="5"/>
    <col width="58" customWidth="1" min="6" max="6"/>
  </cols>
  <sheetData>
    <row r="1" ht="28" customHeight="1">
      <c r="A1" s="1" t="inlineStr">
        <is>
          <t>سناریو/مشخصه</t>
        </is>
      </c>
      <c r="B1" s="1" t="inlineStr">
        <is>
          <t>مبنای درآمد/سود</t>
        </is>
      </c>
      <c r="C1" s="1" t="inlineStr">
        <is>
          <t>نرخ مالیات</t>
        </is>
      </c>
      <c r="D1" s="1" t="inlineStr">
        <is>
          <t>مبلغ مالیات</t>
        </is>
      </c>
      <c r="E1" s="1" t="inlineStr">
        <is>
          <t>سود خالص صاحب کارت بعد از مالیات</t>
        </is>
      </c>
      <c r="F1" s="1" t="inlineStr">
        <is>
          <t>توضیح ریسک</t>
        </is>
      </c>
    </row>
    <row r="2">
      <c r="A2" s="2" t="inlineStr">
        <is>
          <t>اینتاکد</t>
        </is>
      </c>
      <c r="B2" s="2" t="inlineStr">
        <is>
          <t>4690010</t>
        </is>
      </c>
      <c r="C2" s="2" t="inlineStr"/>
      <c r="D2" s="2" t="inlineStr"/>
      <c r="E2" s="2" t="inlineStr"/>
      <c r="F2" s="2" t="inlineStr">
        <is>
          <t>نمونه کد فعالیت، باید با پرونده واقعی تطبیق داده شود</t>
        </is>
      </c>
    </row>
    <row r="3">
      <c r="A3" s="2" t="inlineStr">
        <is>
          <t>شرح فعالیت</t>
        </is>
      </c>
      <c r="B3" s="2" t="inlineStr">
        <is>
          <t>واردات و فروش داخلی تجهیزات شبکه</t>
        </is>
      </c>
      <c r="C3" s="2" t="inlineStr"/>
      <c r="D3" s="2" t="inlineStr"/>
      <c r="E3" s="2" t="inlineStr"/>
      <c r="F3" s="2" t="inlineStr"/>
    </row>
    <row r="4">
      <c r="A4" s="2" t="inlineStr">
        <is>
          <t>ضریب سود فعالیت</t>
        </is>
      </c>
      <c r="B4" s="5" t="n">
        <v>0.1</v>
      </c>
      <c r="C4" s="2" t="inlineStr"/>
      <c r="D4" s="2" t="inlineStr"/>
      <c r="E4" s="2" t="inlineStr"/>
      <c r="F4" s="2" t="inlineStr">
        <is>
          <t>ضریب نمونه بر اساس اینتاکد</t>
        </is>
      </c>
    </row>
    <row r="5">
      <c r="A5" s="2" t="inlineStr">
        <is>
          <t>آیا فعالیت با پرونده مالیاتی صاحب کارت همخوان است؟</t>
        </is>
      </c>
      <c r="B5" s="2" t="inlineStr">
        <is>
          <t>خیر</t>
        </is>
      </c>
      <c r="C5" s="2" t="inlineStr"/>
      <c r="D5" s="2" t="inlineStr"/>
      <c r="E5" s="2" t="inlineStr"/>
      <c r="F5" s="2" t="inlineStr">
        <is>
          <t>عدم همخوانی، ریسک تشخیص درآمد کامل را بالا می‌برد</t>
        </is>
      </c>
    </row>
    <row r="6">
      <c r="A6" s="2" t="inlineStr">
        <is>
          <t>آیا مشاور مالیاتی تأیید کرده؟</t>
        </is>
      </c>
      <c r="B6" s="2" t="inlineStr">
        <is>
          <t>بله</t>
        </is>
      </c>
      <c r="C6" s="2" t="inlineStr"/>
      <c r="D6" s="2" t="inlineStr"/>
      <c r="E6" s="2" t="inlineStr"/>
      <c r="F6" s="2" t="inlineStr">
        <is>
          <t>تأیید نهایی باید مستند شود</t>
        </is>
      </c>
    </row>
    <row r="7">
      <c r="A7" s="2" t="inlineStr">
        <is>
          <t>سناریوی مالیات انتخاب‌شده</t>
        </is>
      </c>
      <c r="B7" s="2" t="inlineStr">
        <is>
          <t>B - مالیات سود برآوردی اینتاکد</t>
        </is>
      </c>
      <c r="C7" s="2" t="inlineStr"/>
      <c r="D7" s="2" t="inlineStr"/>
      <c r="E7" s="2" t="inlineStr"/>
      <c r="F7" s="2" t="inlineStr">
        <is>
          <t>برای خلاصه مدیریتی</t>
        </is>
      </c>
    </row>
    <row r="8">
      <c r="A8" s="2" t="inlineStr">
        <is>
          <t>هزینه اداری/حسابداری</t>
        </is>
      </c>
      <c r="B8" s="3" t="n">
        <v>30000000</v>
      </c>
      <c r="C8" s="2" t="inlineStr"/>
      <c r="D8" s="2" t="inlineStr"/>
      <c r="E8" s="2" t="inlineStr"/>
      <c r="F8" s="2" t="inlineStr">
        <is>
          <t>ورودی آشکار برای محاسبه سود خالص صاحب کارت</t>
        </is>
      </c>
    </row>
    <row r="9">
      <c r="A9" s="2" t="inlineStr">
        <is>
          <t>ذخیره مستقیم ریسک صاحب کارت</t>
        </is>
      </c>
      <c r="B9" s="3" t="n">
        <v>50000000</v>
      </c>
      <c r="C9" s="2" t="inlineStr"/>
      <c r="D9" s="2" t="inlineStr"/>
      <c r="E9" s="2" t="inlineStr"/>
      <c r="F9" s="2" t="inlineStr">
        <is>
          <t>ورودی آشکار برای کسر از منفعت خالص</t>
        </is>
      </c>
    </row>
    <row r="10">
      <c r="A10" s="2" t="inlineStr">
        <is>
          <t>A) مالیات فقط روی کارمزد صاحب کارت</t>
        </is>
      </c>
      <c r="B10" s="3">
        <f>'ورودی‌های معامله'!B2*'ورودی‌های معامله'!B10</f>
        <v/>
      </c>
      <c r="C10" s="5" t="n">
        <v>0.25</v>
      </c>
      <c r="D10" s="3">
        <f>B10*C10</f>
        <v/>
      </c>
      <c r="E10" s="3">
        <f>B10+'ورودی‌های معامله'!B11-D10-B8-B9</f>
        <v/>
      </c>
      <c r="F10" s="2" t="inlineStr">
        <is>
          <t>ریسک پایین‌تر در صورت قرارداد حق‌العمل‌کاری و مستندات کامل</t>
        </is>
      </c>
    </row>
    <row r="11">
      <c r="A11" s="2" t="inlineStr">
        <is>
          <t>B) مالیات روی سود فرضی فروش کالا بر اساس ضریب اینتاکد</t>
        </is>
      </c>
      <c r="B11" s="3">
        <f>'ورودی‌های معامله'!B9*B4</f>
        <v/>
      </c>
      <c r="C11" s="5" t="n">
        <v>0.25</v>
      </c>
      <c r="D11" s="3">
        <f>B11*C11</f>
        <v/>
      </c>
      <c r="E11" s="3">
        <f>('ورودی‌های معامله'!B2*'ورودی‌های معامله'!B10)+'ورودی‌های معامله'!B11-D11-B8-B9</f>
        <v/>
      </c>
      <c r="F11" s="2" t="inlineStr">
        <is>
          <t>ریسک متوسط؛ وابسته به پذیرش اینتاکد و مدل حسابداری</t>
        </is>
      </c>
    </row>
    <row r="12">
      <c r="A12" s="2" t="inlineStr">
        <is>
          <t>C) مالیات روی سود واقعی/دلخواه</t>
        </is>
      </c>
      <c r="B12" s="3" t="n">
        <v>400000000</v>
      </c>
      <c r="C12" s="5" t="n">
        <v>0.25</v>
      </c>
      <c r="D12" s="3">
        <f>B12*C12</f>
        <v/>
      </c>
      <c r="E12" s="3">
        <f>('ورودی‌های معامله'!B2*'ورودی‌های معامله'!B10)+'ورودی‌های معامله'!B11-D12-B8-B9</f>
        <v/>
      </c>
      <c r="F12" s="2" t="inlineStr">
        <is>
          <t>ریسک بالا اگر سود واقعی و مدارک هزینه قابل دفاع نباشد</t>
        </is>
      </c>
    </row>
  </sheetData>
  <dataValidations count="2">
    <dataValidation sqref="B5:B6" showDropDown="0" showInputMessage="0" showErrorMessage="0" allowBlank="0" errorTitle="ورودی نامعتبر" error="فقط یکی از گزینه‌های بله یا خیر را انتخاب کنید." promptTitle="انتخاب مجاز" prompt="بله یا خیر را انتخاب کنید." type="list">
      <formula1>"بله,خیر"</formula1>
    </dataValidation>
    <dataValidation sqref="B7" showDropDown="0" showInputMessage="0" showErrorMessage="0" allowBlank="0" errorTitle="ورودی نامعتبر" error="یکی از گزینه‌های مجاز را انتخاب کنید." promptTitle="انتخاب مجاز" prompt="یک گزینه از فهرست انتخاب کنید." type="list">
      <formula1>"A - مالیات فقط روی کارمزد,B - مالیات سود برآوردی اینتاکد,C - مالیات سود واقعی/دلخواه"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4" customWidth="1" min="3" max="3"/>
    <col width="24" customWidth="1" min="4" max="4"/>
    <col width="46" customWidth="1" min="5" max="5"/>
  </cols>
  <sheetData>
    <row r="1" ht="28" customHeight="1">
      <c r="A1" s="1" t="inlineStr">
        <is>
          <t>کنترل</t>
        </is>
      </c>
      <c r="B1" s="1" t="inlineStr">
        <is>
          <t>انجام شده؟ بله/خیر</t>
        </is>
      </c>
      <c r="C1" s="1" t="inlineStr">
        <is>
          <t>وزن ریسک</t>
        </is>
      </c>
      <c r="D1" s="1" t="inlineStr">
        <is>
          <t>ریسک لحاظ‌شده</t>
        </is>
      </c>
      <c r="E1" s="1" t="inlineStr">
        <is>
          <t>توضیح</t>
        </is>
      </c>
    </row>
    <row r="2">
      <c r="A2" s="2" t="inlineStr">
        <is>
          <t>قرارداد کتبی وجود دارد</t>
        </is>
      </c>
      <c r="B2" s="2" t="inlineStr">
        <is>
          <t>بله</t>
        </is>
      </c>
      <c r="C2" s="4" t="n">
        <v>8</v>
      </c>
      <c r="D2" s="2">
        <f>IF(B2="بله",0,C2)</f>
        <v/>
      </c>
      <c r="E2" s="2" t="inlineStr">
        <is>
          <t>قرارداد سه‌جانبه با تعهدات مالیاتی و گمرکی</t>
        </is>
      </c>
    </row>
    <row r="3">
      <c r="A3" s="2" t="inlineStr">
        <is>
          <t>HS Code بررسی شده</t>
        </is>
      </c>
      <c r="B3" s="2" t="inlineStr">
        <is>
          <t>بله</t>
        </is>
      </c>
      <c r="C3" s="4" t="n">
        <v>8</v>
      </c>
      <c r="D3" s="2">
        <f>IF(B3="بله",0,C3)</f>
        <v/>
      </c>
      <c r="E3" s="2" t="inlineStr">
        <is>
          <t>استعلام تعرفه و حقوق ورودی انجام شده</t>
        </is>
      </c>
    </row>
    <row r="4">
      <c r="A4" s="2" t="inlineStr">
        <is>
          <t>مجوزهای کالا بررسی شده</t>
        </is>
      </c>
      <c r="B4" s="2" t="inlineStr">
        <is>
          <t>خیر</t>
        </is>
      </c>
      <c r="C4" s="4" t="n">
        <v>7</v>
      </c>
      <c r="D4" s="2">
        <f>IF(B4="بله",0,C4)</f>
        <v/>
      </c>
      <c r="E4" s="2" t="inlineStr">
        <is>
          <t>برای کالای نمونه مجوز خاص لازم است</t>
        </is>
      </c>
    </row>
    <row r="5">
      <c r="A5" s="2" t="inlineStr">
        <is>
          <t>مبلغ فاکتور داخلی مشخص است</t>
        </is>
      </c>
      <c r="B5" s="2" t="inlineStr">
        <is>
          <t>بله</t>
        </is>
      </c>
      <c r="C5" s="3" t="n">
        <v>6</v>
      </c>
      <c r="D5" s="3">
        <f>IF(B5="بله",0,C5)</f>
        <v/>
      </c>
      <c r="E5" s="2" t="inlineStr">
        <is>
          <t>مبنای VAT و مالیات عملکرد</t>
        </is>
      </c>
    </row>
    <row r="6">
      <c r="A6" s="2" t="inlineStr">
        <is>
          <t>پرداخت‌کننده VAT واردات مشخص است</t>
        </is>
      </c>
      <c r="B6" s="2" t="inlineStr">
        <is>
          <t>بله</t>
        </is>
      </c>
      <c r="C6" s="3" t="n">
        <v>6</v>
      </c>
      <c r="D6" s="3">
        <f>IF(B6="بله",0,C6)</f>
        <v/>
      </c>
      <c r="E6" s="2" t="inlineStr">
        <is>
          <t>در قرارداد با مجری مشخص شده</t>
        </is>
      </c>
    </row>
    <row r="7">
      <c r="A7" s="2" t="inlineStr">
        <is>
          <t>پرداخت‌کننده VAT فروش داخلی مشخص است</t>
        </is>
      </c>
      <c r="B7" s="2" t="inlineStr">
        <is>
          <t>بله</t>
        </is>
      </c>
      <c r="C7" s="3" t="n">
        <v>6</v>
      </c>
      <c r="D7" s="3">
        <f>IF(B7="بله",0,C7)</f>
        <v/>
      </c>
      <c r="E7" s="2" t="inlineStr">
        <is>
          <t>خریدار داخلی جداگانه پرداخت می‌کند</t>
        </is>
      </c>
    </row>
    <row r="8">
      <c r="A8" s="2" t="inlineStr">
        <is>
          <t>صورتحساب الکترونیکی صادر می‌شود</t>
        </is>
      </c>
      <c r="B8" s="2" t="inlineStr">
        <is>
          <t>بله</t>
        </is>
      </c>
      <c r="C8" s="4" t="n">
        <v>8</v>
      </c>
      <c r="D8" s="2">
        <f>IF(B8="بله",0,C8)</f>
        <v/>
      </c>
      <c r="E8" s="2" t="inlineStr">
        <is>
          <t>در سامانه مؤدیان</t>
        </is>
      </c>
    </row>
    <row r="9">
      <c r="A9" s="2" t="inlineStr">
        <is>
          <t>خریدار داخلی صورتحساب را تأیید می‌کند</t>
        </is>
      </c>
      <c r="B9" s="2" t="inlineStr">
        <is>
          <t>خیر</t>
        </is>
      </c>
      <c r="C9" s="4" t="n">
        <v>7</v>
      </c>
      <c r="D9" s="2">
        <f>IF(B9="بله",0,C9)</f>
        <v/>
      </c>
      <c r="E9" s="2" t="inlineStr">
        <is>
          <t>ریسک رد اعتبار و اختلاف فروش</t>
        </is>
      </c>
    </row>
    <row r="10">
      <c r="A10" s="2" t="inlineStr">
        <is>
          <t>اینتاکد بررسی شده</t>
        </is>
      </c>
      <c r="B10" s="2" t="inlineStr">
        <is>
          <t>خیر</t>
        </is>
      </c>
      <c r="C10" s="4" t="n">
        <v>8</v>
      </c>
      <c r="D10" s="2">
        <f>IF(B10="بله",0,C10)</f>
        <v/>
      </c>
      <c r="E10" s="2" t="inlineStr">
        <is>
          <t>نیازمند تأیید مستند مشاور مالیاتی</t>
        </is>
      </c>
    </row>
    <row r="11">
      <c r="A11" s="2" t="inlineStr">
        <is>
          <t>مالیات عملکرد تعیین تکلیف شده</t>
        </is>
      </c>
      <c r="B11" s="2" t="inlineStr">
        <is>
          <t>بله</t>
        </is>
      </c>
      <c r="C11" s="3" t="n">
        <v>8</v>
      </c>
      <c r="D11" s="3">
        <f>IF(B11="بله",0,C11)</f>
        <v/>
      </c>
      <c r="E11" s="2" t="inlineStr">
        <is>
          <t>سناریو B به‌عنوان مبنا انتخاب شده</t>
        </is>
      </c>
    </row>
    <row r="12">
      <c r="A12" s="2" t="inlineStr">
        <is>
          <t>مسئولیت گمرکی مشخص است</t>
        </is>
      </c>
      <c r="B12" s="2" t="inlineStr">
        <is>
          <t>بله</t>
        </is>
      </c>
      <c r="C12" s="4" t="n">
        <v>8</v>
      </c>
      <c r="D12" s="2">
        <f>IF(B12="بله",0,C12)</f>
        <v/>
      </c>
      <c r="E12" s="2" t="inlineStr">
        <is>
          <t>مسئولیت اختلاف ارزش و تعرفه با مجری</t>
        </is>
      </c>
    </row>
    <row r="13">
      <c r="A13" s="2" t="inlineStr">
        <is>
          <t>مسیر رفع تعهد ارزی تأیید شده</t>
        </is>
      </c>
      <c r="B13" s="2" t="inlineStr">
        <is>
          <t>بله</t>
        </is>
      </c>
      <c r="C13" s="4" t="n">
        <v>9</v>
      </c>
      <c r="D13" s="2">
        <f>IF(B13="بله",0,C13)</f>
        <v/>
      </c>
      <c r="E13" s="2" t="inlineStr">
        <is>
          <t>مسیر تسویه در سامانه و بانک مشخص است</t>
        </is>
      </c>
    </row>
    <row r="14">
      <c r="A14" s="2" t="inlineStr">
        <is>
          <t>صاحب کارت کنترل سامانه جامع تجارت دارد</t>
        </is>
      </c>
      <c r="B14" s="2" t="inlineStr">
        <is>
          <t>بله</t>
        </is>
      </c>
      <c r="C14" s="4" t="n">
        <v>7</v>
      </c>
      <c r="D14" s="2">
        <f>IF(B14="بله",0,C14)</f>
        <v/>
      </c>
      <c r="E14" s="2" t="inlineStr">
        <is>
          <t>دسترسی اصلی نزد مالک کارت است</t>
        </is>
      </c>
    </row>
    <row r="15">
      <c r="A15" s="2" t="inlineStr">
        <is>
          <t>مجری وثیقه معتبر می‌دهد</t>
        </is>
      </c>
      <c r="B15" s="2" t="inlineStr">
        <is>
          <t>بله</t>
        </is>
      </c>
      <c r="C15" s="3" t="n">
        <v>10</v>
      </c>
      <c r="D15" s="3">
        <f>IF(B15="بله",0,C15)</f>
        <v/>
      </c>
      <c r="E15" s="2" t="inlineStr">
        <is>
          <t>وثیقه بانکی/چک تضمینی</t>
        </is>
      </c>
    </row>
    <row r="16">
      <c r="A16" s="2" t="inlineStr">
        <is>
          <t>ریسک مالیاتی با وثیقه پوشش داده شده</t>
        </is>
      </c>
      <c r="B16" s="2" t="inlineStr">
        <is>
          <t>بله</t>
        </is>
      </c>
      <c r="C16" s="3" t="n">
        <v>9</v>
      </c>
      <c r="D16" s="3">
        <f>IF(B16="بله",0,C16)</f>
        <v/>
      </c>
      <c r="E16" s="2" t="inlineStr">
        <is>
          <t>تا زمان قطعیت مالیات</t>
        </is>
      </c>
    </row>
    <row r="17">
      <c r="A17" s="2" t="inlineStr">
        <is>
          <t>ریسک گمرکی با وثیقه پوشش داده شده</t>
        </is>
      </c>
      <c r="B17" s="2" t="inlineStr">
        <is>
          <t>بله</t>
        </is>
      </c>
      <c r="C17" s="3" t="n">
        <v>9</v>
      </c>
      <c r="D17" s="3">
        <f>IF(B17="بله",0,C17)</f>
        <v/>
      </c>
      <c r="E17" s="2" t="inlineStr">
        <is>
          <t>تا پایان ترخیص و رسیدگی احتمالی</t>
        </is>
      </c>
    </row>
    <row r="18">
      <c r="A18" s="2" t="inlineStr">
        <is>
          <t>ریسک رد اعتبار VAT پوشش داده شده</t>
        </is>
      </c>
      <c r="B18" s="2" t="inlineStr">
        <is>
          <t>خیر</t>
        </is>
      </c>
      <c r="C18" s="3" t="n">
        <v>9</v>
      </c>
      <c r="D18" s="3">
        <f>IF(B18="بله",0,C18)</f>
        <v/>
      </c>
      <c r="E18" s="2" t="inlineStr">
        <is>
          <t>باید در وثیقه یا ضمانت لحاظ شود</t>
        </is>
      </c>
    </row>
    <row r="19">
      <c r="A19" s="2" t="inlineStr">
        <is>
          <t>ریسک تأخیر ترخیص پوشش داده شده</t>
        </is>
      </c>
      <c r="B19" s="2" t="inlineStr">
        <is>
          <t>بله</t>
        </is>
      </c>
      <c r="C19" s="4" t="n">
        <v>6</v>
      </c>
      <c r="D19" s="2">
        <f>IF(B19="بله",0,C19)</f>
        <v/>
      </c>
      <c r="E19" s="2" t="inlineStr">
        <is>
          <t>مهلت و جریمه قراردادی تعریف شده</t>
        </is>
      </c>
    </row>
    <row r="20">
      <c r="A20" s="2" t="inlineStr">
        <is>
          <t>ریسک دموراژ پوشش داده شده</t>
        </is>
      </c>
      <c r="B20" s="2" t="inlineStr">
        <is>
          <t>بله</t>
        </is>
      </c>
      <c r="C20" s="4" t="n">
        <v>5</v>
      </c>
      <c r="D20" s="2">
        <f>IF(B20="بله",0,C20)</f>
        <v/>
      </c>
      <c r="E20" s="2" t="inlineStr">
        <is>
          <t>سقف مسئولیت مجری تعیین شده</t>
        </is>
      </c>
    </row>
    <row r="21">
      <c r="A21" s="2" t="inlineStr">
        <is>
          <t>حسابدار/حسابرس مدل را تأیید کرده</t>
        </is>
      </c>
      <c r="B21" s="2" t="inlineStr">
        <is>
          <t>خیر</t>
        </is>
      </c>
      <c r="C21" s="4" t="n">
        <v>8</v>
      </c>
      <c r="D21" s="2">
        <f>IF(B21="بله",0,C21)</f>
        <v/>
      </c>
      <c r="E21" s="2" t="inlineStr">
        <is>
          <t>مدل ثبت درآمد باید پیش از معامله تأیید شود</t>
        </is>
      </c>
    </row>
    <row r="22">
      <c r="A22" s="2" t="inlineStr">
        <is>
          <t>امتیاز کل ریسک</t>
        </is>
      </c>
      <c r="B22" s="2" t="inlineStr"/>
      <c r="C22" s="2" t="inlineStr"/>
      <c r="D22" s="2">
        <f>SUM(D2:D21)</f>
        <v/>
      </c>
      <c r="E22" s="2" t="inlineStr">
        <is>
          <t>جمع وزن موارد انجام‌نشده</t>
        </is>
      </c>
    </row>
    <row r="23">
      <c r="A23" s="2" t="inlineStr">
        <is>
          <t>تعداد کنترل‌های انجام‌شده</t>
        </is>
      </c>
      <c r="B23" s="2">
        <f>COUNTIF(B2:B21,"بله")</f>
        <v/>
      </c>
      <c r="C23" s="2" t="inlineStr"/>
      <c r="D23" s="2" t="inlineStr"/>
      <c r="E23" s="2" t="inlineStr">
        <is>
          <t>برای خلاصه مدیریتی</t>
        </is>
      </c>
    </row>
    <row r="24">
      <c r="A24" s="2" t="inlineStr">
        <is>
          <t>تعداد کنترل‌های انجام‌نشده</t>
        </is>
      </c>
      <c r="B24" s="2">
        <f>COUNTIF(B2:B21,"خیر")</f>
        <v/>
      </c>
      <c r="C24" s="2" t="inlineStr"/>
      <c r="D24" s="2" t="inlineStr"/>
      <c r="E24" s="2" t="inlineStr">
        <is>
          <t>برای خلاصه مدیریتی</t>
        </is>
      </c>
    </row>
  </sheetData>
  <dataValidations count="1">
    <dataValidation sqref="B2:B21" showDropDown="0" showInputMessage="0" showErrorMessage="0" allowBlank="0" errorTitle="ورودی نامعتبر" error="فقط یکی از گزینه‌های بله یا خیر را انتخاب کنید." promptTitle="انتخاب مجاز" prompt="بله یا خیر را انتخاب کنید." type="list">
      <formula1>"بله,خیر"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14" customWidth="1" min="3" max="3"/>
    <col width="58" customWidth="1" min="4" max="4"/>
    <col width="58" customWidth="1" min="5" max="5"/>
  </cols>
  <sheetData>
    <row r="1" ht="28" customHeight="1">
      <c r="A1" s="1" t="inlineStr">
        <is>
          <t>شرح ذخیره</t>
        </is>
      </c>
      <c r="B1" s="1" t="inlineStr">
        <is>
          <t>مبنای محاسبه</t>
        </is>
      </c>
      <c r="C1" s="1" t="inlineStr">
        <is>
          <t>درصد ذخیره</t>
        </is>
      </c>
      <c r="D1" s="1" t="inlineStr">
        <is>
          <t>مبلغ ذخیره</t>
        </is>
      </c>
      <c r="E1" s="1" t="inlineStr">
        <is>
          <t>توضیح</t>
        </is>
      </c>
    </row>
    <row r="2">
      <c r="A2" s="2" t="inlineStr">
        <is>
          <t>راهنمای درصدها</t>
        </is>
      </c>
      <c r="B2" s="2" t="inlineStr"/>
      <c r="C2" s="2" t="inlineStr"/>
      <c r="D2" s="2" t="inlineStr"/>
      <c r="E2" s="2" t="inlineStr">
        <is>
          <t>در ستون درصد ذخیره، عدد 1 به معنی 100% است؛ اعداد به‌صورت درصد نمایش داده می‌شوند.</t>
        </is>
      </c>
    </row>
    <row r="3">
      <c r="A3" s="2" t="inlineStr">
        <is>
          <t>ذخیره ریسک VAT</t>
        </is>
      </c>
      <c r="B3" s="3">
        <f>MAX('محاسبات ارزش افزوده'!C4,'محاسبات ارزش افزوده'!C7)</f>
        <v/>
      </c>
      <c r="C3" s="5" t="n">
        <v>1</v>
      </c>
      <c r="D3" s="3">
        <f>B3*C3</f>
        <v/>
      </c>
      <c r="E3" s="2" t="inlineStr">
        <is>
          <t>پوشش ریسک رد اعتبار یا عدم پرداخت</t>
        </is>
      </c>
    </row>
    <row r="4">
      <c r="A4" s="2" t="inlineStr">
        <is>
          <t>مالیات سناریوی منتخب</t>
        </is>
      </c>
      <c r="B4" s="3">
        <f>IF(LEFT('سناریوهای مالیات عملکرد'!B7,1)="A",'سناریوهای مالیات عملکرد'!D10,IF(LEFT('سناریوهای مالیات عملکرد'!B7,1)="B",'سناریوهای مالیات عملکرد'!D11,'سناریوهای مالیات عملکرد'!D12))</f>
        <v/>
      </c>
      <c r="C4" s="2" t="inlineStr"/>
      <c r="D4" s="2" t="inlineStr"/>
      <c r="E4" s="2" t="inlineStr">
        <is>
          <t>برای نمایش؛ مبنای محافظه‌کارانه ذخیره نیست</t>
        </is>
      </c>
    </row>
    <row r="5">
      <c r="A5" s="2" t="inlineStr">
        <is>
          <t>بدترین مالیات بین سناریوها</t>
        </is>
      </c>
      <c r="B5" s="3">
        <f>MAX('سناریوهای مالیات عملکرد'!D10:D12)</f>
        <v/>
      </c>
      <c r="C5" s="2" t="inlineStr"/>
      <c r="D5" s="2" t="inlineStr"/>
      <c r="E5" s="2" t="inlineStr">
        <is>
          <t>بیشترین مبلغ مالیات در سناریوهای A/B/C</t>
        </is>
      </c>
    </row>
    <row r="6">
      <c r="A6" s="2" t="inlineStr">
        <is>
          <t>درصد پوشش ریسک مالیات عملکرد</t>
        </is>
      </c>
      <c r="B6" s="2" t="inlineStr"/>
      <c r="C6" s="5" t="n">
        <v>1</v>
      </c>
      <c r="D6" s="2" t="inlineStr"/>
      <c r="E6" s="2" t="inlineStr">
        <is>
          <t>عدد 1 یعنی 100% پوشش</t>
        </is>
      </c>
    </row>
    <row r="7">
      <c r="A7" s="2" t="inlineStr">
        <is>
          <t>ذخیره پیشنهادی مالیات عملکرد</t>
        </is>
      </c>
      <c r="B7" s="3">
        <f>B5</f>
        <v/>
      </c>
      <c r="C7" s="3">
        <f>C6</f>
        <v/>
      </c>
      <c r="D7" s="3">
        <f>B5*C6</f>
        <v/>
      </c>
      <c r="E7" s="2" t="inlineStr">
        <is>
          <t>برای محافظت از صاحب کارت، وثیقه مالیاتی بهتر است بر اساس بدترین سناریوی مالیات عملکرد محاسبه شود، نه فقط سناریوی منتخب.</t>
        </is>
      </c>
    </row>
    <row r="8">
      <c r="A8" s="2" t="inlineStr">
        <is>
          <t>ذخیره ریسک گمرکی</t>
        </is>
      </c>
      <c r="B8" s="3">
        <f>'محاسبات ارزش افزوده'!C2</f>
        <v/>
      </c>
      <c r="C8" s="5" t="n">
        <v>0.2</v>
      </c>
      <c r="D8" s="3">
        <f>B8*C8</f>
        <v/>
      </c>
      <c r="E8" s="2" t="inlineStr">
        <is>
          <t>اختلاف ارزش، تعرفه، جریمه و عوارض</t>
        </is>
      </c>
    </row>
    <row r="9">
      <c r="A9" s="2" t="inlineStr">
        <is>
          <t>ذخیره ریسک ارزی</t>
        </is>
      </c>
      <c r="B9" s="3">
        <f>SUM('هزینه‌های گمرکی و واردات'!C2:C4)</f>
        <v/>
      </c>
      <c r="C9" s="5" t="n">
        <v>0.05</v>
      </c>
      <c r="D9" s="3">
        <f>B9*C9</f>
        <v/>
      </c>
      <c r="E9" s="2" t="inlineStr">
        <is>
          <t>نوسان نرخ و هزینه تسویه</t>
        </is>
      </c>
    </row>
    <row r="10">
      <c r="A10" s="2" t="inlineStr">
        <is>
          <t>ذخیره ریسک عدم رفع تعهد</t>
        </is>
      </c>
      <c r="B10" s="3">
        <f>'ورودی‌های معامله'!B14</f>
        <v/>
      </c>
      <c r="C10" s="5" t="n">
        <v>0.2</v>
      </c>
      <c r="D10" s="3">
        <f>B10*C10</f>
        <v/>
      </c>
      <c r="E10" s="2" t="inlineStr">
        <is>
          <t>تا قطعی شدن مسیر رفع تعهد</t>
        </is>
      </c>
    </row>
    <row r="11">
      <c r="A11" s="2" t="inlineStr">
        <is>
          <t>ذخیره حقوقی/اداری ثابت</t>
        </is>
      </c>
      <c r="B11" s="3" t="n">
        <v>100000000</v>
      </c>
      <c r="C11" s="2" t="inlineStr"/>
      <c r="D11" s="3">
        <f>B11</f>
        <v/>
      </c>
      <c r="E11" s="2" t="inlineStr">
        <is>
          <t>پیگیری حقوقی، حسابداری و اداری</t>
        </is>
      </c>
    </row>
    <row r="12">
      <c r="A12" s="2" t="inlineStr">
        <is>
          <t>حداقل وثیقه پیشنهادی</t>
        </is>
      </c>
      <c r="B12" s="2" t="inlineStr"/>
      <c r="C12" s="2" t="inlineStr"/>
      <c r="D12" s="3">
        <f>SUM(D3,D7:D11)</f>
        <v/>
      </c>
      <c r="E12" s="2" t="inlineStr">
        <is>
          <t>حداقل تضمین قابل مذاکره</t>
        </is>
      </c>
    </row>
    <row r="13">
      <c r="A13" s="6" t="inlineStr">
        <is>
          <t>هشدار وثیقه</t>
        </is>
      </c>
      <c r="B13" s="6" t="inlineStr"/>
      <c r="C13" s="6" t="inlineStr"/>
      <c r="D13" s="6" t="inlineStr">
        <is>
          <t>هیچ معامله‌ای نباید بدون وثیقه پوشش‌دهنده ریسک VAT، مالیات، گمرک و رفع تعهد ارزی انجام شود.</t>
        </is>
      </c>
      <c r="E13" s="6" t="inlineStr">
        <is>
          <t>کنترل قراردادی و ضمانت اجرایی لازم است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</cols>
  <sheetData>
    <row r="1" ht="28" customHeight="1">
      <c r="A1" s="1" t="inlineStr">
        <is>
          <t>شاخص</t>
        </is>
      </c>
      <c r="B1" s="1" t="inlineStr">
        <is>
          <t>مقدار</t>
        </is>
      </c>
      <c r="C1" s="1" t="inlineStr">
        <is>
          <t>توضیح</t>
        </is>
      </c>
    </row>
    <row r="2">
      <c r="A2" s="2" t="inlineStr">
        <is>
          <t>ارزش کل واردات</t>
        </is>
      </c>
      <c r="B2" s="3">
        <f>'ورودی‌های معامله'!B5</f>
        <v/>
      </c>
      <c r="C2" s="2" t="inlineStr">
        <is>
          <t>ارزش ریالی معامله</t>
        </is>
      </c>
    </row>
    <row r="3">
      <c r="A3" s="2" t="inlineStr">
        <is>
          <t>بهای تمام‌شده کل</t>
        </is>
      </c>
      <c r="B3" s="3">
        <f>'هزینه‌های گمرکی و واردات'!C17</f>
        <v/>
      </c>
      <c r="C3" s="2" t="inlineStr">
        <is>
          <t>با VAT واردات</t>
        </is>
      </c>
    </row>
    <row r="4">
      <c r="A4" s="2" t="inlineStr">
        <is>
          <t>کارمزد ناخالص صاحب کارت</t>
        </is>
      </c>
      <c r="B4" s="3">
        <f>'سناریوهای مالیات عملکرد'!B10</f>
        <v/>
      </c>
      <c r="C4" s="2" t="inlineStr">
        <is>
          <t>ارزش ارزی × کارمزد هر دلار</t>
        </is>
      </c>
    </row>
    <row r="5">
      <c r="A5" s="2" t="inlineStr">
        <is>
          <t>سناریوی مالیات انتخاب‌شده</t>
        </is>
      </c>
      <c r="B5" s="3">
        <f>'سناریوهای مالیات عملکرد'!B7</f>
        <v/>
      </c>
      <c r="C5" s="2" t="inlineStr">
        <is>
          <t>گزینه کامل انتخاب‌شده</t>
        </is>
      </c>
    </row>
    <row r="6">
      <c r="A6" s="2" t="inlineStr">
        <is>
          <t>نام سناریوی مالیات انتخاب‌شده</t>
        </is>
      </c>
      <c r="B6" s="3">
        <f>B5</f>
        <v/>
      </c>
      <c r="C6" s="2" t="inlineStr">
        <is>
          <t>شرح سناریوی فعال</t>
        </is>
      </c>
    </row>
    <row r="7">
      <c r="A7" s="2" t="inlineStr">
        <is>
          <t>درصد کارمزد از ارزش واردات</t>
        </is>
      </c>
      <c r="B7" s="5">
        <f>B4/B2</f>
        <v/>
      </c>
      <c r="C7" s="2" t="inlineStr">
        <is>
          <t>کارمزد ناخالص نسبت به ارزش ریالی واردات</t>
        </is>
      </c>
    </row>
    <row r="8">
      <c r="A8" s="2" t="inlineStr">
        <is>
          <t>VAT واردات</t>
        </is>
      </c>
      <c r="B8" s="3">
        <f>'محاسبات ارزش افزوده'!C4</f>
        <v/>
      </c>
      <c r="C8" s="2" t="inlineStr"/>
    </row>
    <row r="9">
      <c r="A9" s="2" t="inlineStr">
        <is>
          <t>VAT فروش داخلی</t>
        </is>
      </c>
      <c r="B9" s="3">
        <f>'محاسبات ارزش افزوده'!C7</f>
        <v/>
      </c>
      <c r="C9" s="2" t="inlineStr">
        <is>
          <t>باید در صورتحساب درج شود مگر معافیت</t>
        </is>
      </c>
    </row>
    <row r="10">
      <c r="A10" s="2" t="inlineStr">
        <is>
          <t>خالص VAT قابل پرداخت/تهاتر</t>
        </is>
      </c>
      <c r="B10" s="3">
        <f>'محاسبات ارزش افزوده'!C9</f>
        <v/>
      </c>
      <c r="C10" s="2" t="inlineStr">
        <is>
          <t>مثبت: پرداختنی، منفی: تهاتر/اعتبار</t>
        </is>
      </c>
    </row>
    <row r="11">
      <c r="A11" s="2" t="inlineStr">
        <is>
          <t>مالیات عملکرد انتخاب‌شده</t>
        </is>
      </c>
      <c r="B11" s="3">
        <f>IF(LEFT('سناریوهای مالیات عملکرد'!B7,1)="A",'سناریوهای مالیات عملکرد'!D10,IF(LEFT('سناریوهای مالیات عملکرد'!B7,1)="B",'سناریوهای مالیات عملکرد'!D11,'سناریوهای مالیات عملکرد'!D12))</f>
        <v/>
      </c>
      <c r="C11" s="2" t="inlineStr">
        <is>
          <t>بر اساس سناریوی منتخب</t>
        </is>
      </c>
    </row>
    <row r="12">
      <c r="A12" s="2" t="inlineStr">
        <is>
          <t>سود خالص صاحب کارت</t>
        </is>
      </c>
      <c r="B12" s="3">
        <f>IF(LEFT('سناریوهای مالیات عملکرد'!B7,1)="A",'سناریوهای مالیات عملکرد'!E10,IF(LEFT('سناریوهای مالیات عملکرد'!B7,1)="B",'سناریوهای مالیات عملکرد'!E11,'سناریوهای مالیات عملکرد'!E12))</f>
        <v/>
      </c>
      <c r="C12" s="2" t="inlineStr">
        <is>
          <t>پس از مالیات، هزینه اداری و ذخیره ریسک</t>
        </is>
      </c>
    </row>
    <row r="13">
      <c r="A13" s="2" t="inlineStr">
        <is>
          <t>سود خالص به ازای هر دلار</t>
        </is>
      </c>
      <c r="B13" s="3">
        <f>B12/'ورودی‌های معامله'!B2</f>
        <v/>
      </c>
      <c r="C13" s="2" t="inlineStr">
        <is>
          <t>تومان به ازای هر دلار واردات</t>
        </is>
      </c>
    </row>
    <row r="14">
      <c r="A14" s="2" t="inlineStr">
        <is>
          <t>هزینه کل مجری/واردکننده واقعی</t>
        </is>
      </c>
      <c r="B14" s="3">
        <f>'هزینه‌های گمرکی و واردات'!C17+'سناریوهای مالیات عملکرد'!B10+MAX('محاسبات ارزش افزوده'!C9,0)+'سناریوهای مالیات عملکرد'!B8</f>
        <v/>
      </c>
      <c r="C14" s="2" t="inlineStr">
        <is>
          <t>بهای تمام‌شده + کارمزد + VAT پرداختنی + هزینه اداری</t>
        </is>
      </c>
    </row>
    <row r="15">
      <c r="A15" s="2" t="inlineStr">
        <is>
          <t>حداقل وثیقه پیشنهادی</t>
        </is>
      </c>
      <c r="B15" s="3">
        <f>'محاسبه وثیقه پیشنهادی'!D12</f>
        <v/>
      </c>
      <c r="C15" s="2" t="inlineStr">
        <is>
          <t>جمع ذخایر ریسک</t>
        </is>
      </c>
    </row>
    <row r="16">
      <c r="A16" s="2" t="inlineStr">
        <is>
          <t>امتیاز ریسک</t>
        </is>
      </c>
      <c r="B16" s="2">
        <f>'چک‌لیست ریسک'!D22</f>
        <v/>
      </c>
      <c r="C16" s="2" t="inlineStr">
        <is>
          <t>جمع وزن کنترل‌های انجام‌نشده</t>
        </is>
      </c>
    </row>
    <row r="17">
      <c r="A17" s="2" t="inlineStr">
        <is>
          <t>تعداد کنترل‌های انجام‌نشده</t>
        </is>
      </c>
      <c r="B17" s="2">
        <f>'چک‌لیست ریسک'!B24</f>
        <v/>
      </c>
      <c r="C17" s="2" t="inlineStr">
        <is>
          <t>موارد خیر</t>
        </is>
      </c>
    </row>
    <row r="18">
      <c r="A18" s="2" t="inlineStr">
        <is>
          <t>تعداد کنترل‌های انجام‌شده</t>
        </is>
      </c>
      <c r="B18" s="2">
        <f>'چک‌لیست ریسک'!B23</f>
        <v/>
      </c>
      <c r="C18" s="2" t="inlineStr">
        <is>
          <t>موارد بله</t>
        </is>
      </c>
    </row>
    <row r="19">
      <c r="A19" s="2" t="inlineStr">
        <is>
          <t>مجموع وزن ریسک‌های انجام‌نشده</t>
        </is>
      </c>
      <c r="B19" s="2">
        <f>'چک‌لیست ریسک'!D22</f>
        <v/>
      </c>
      <c r="C19" s="2" t="inlineStr">
        <is>
          <t>همان امتیاز کل ریسک</t>
        </is>
      </c>
    </row>
    <row r="20">
      <c r="A20" s="2" t="inlineStr">
        <is>
          <t>آیا VAT فروش داخلی جداگانه توسط خریدار پرداخت می‌شود؟</t>
        </is>
      </c>
      <c r="B20" s="3">
        <f>'ورودی‌های معامله'!B15</f>
        <v/>
      </c>
      <c r="C20" s="2" t="inlineStr">
        <is>
          <t>ورودی قراردادی حساس</t>
        </is>
      </c>
    </row>
    <row r="21">
      <c r="A21" s="6" t="inlineStr">
        <is>
          <t>پیام وضعیت دریافت VAT از خریدار</t>
        </is>
      </c>
      <c r="B21" s="7">
        <f>IF(B20="خیر","هشدار: اگر VAT فروش داخلی جداگانه از خریدار دریافت نشود، ممکن است این مبلغ از سود صاحب کارت یا مجری کسر شود.","VAT فروش داخلی به‌صورت جداگانه از خریدار دریافت می‌شود.")</f>
        <v/>
      </c>
      <c r="C21" s="6" t="inlineStr">
        <is>
          <t>هشدار نقدینگی VAT</t>
        </is>
      </c>
    </row>
    <row r="22">
      <c r="A22" s="2" t="inlineStr">
        <is>
          <t>سطح ریسک</t>
        </is>
      </c>
      <c r="B22" s="2">
        <f>IF(B16&lt;=20,"کم",IF(B16&lt;=45,"متوسط",IF(B16&lt;=70,"زیاد","غیرقابل قبول")))</f>
        <v/>
      </c>
      <c r="C22" s="2" t="inlineStr">
        <is>
          <t>طبقه‌بندی امتیاز ریسک</t>
        </is>
      </c>
    </row>
    <row r="23">
      <c r="A23" s="8" t="inlineStr">
        <is>
          <t>تصمیم نهایی</t>
        </is>
      </c>
      <c r="B23" s="8">
        <f>IF(OR(B16&gt;70,B12&lt;0),"رد معامله",IF(B16&gt;=46,"نیازمند تضمین و کنترل تکمیلی",IF(B16&gt;=21,"نیازمند تضمین و کنترل تکمیلی","قابل قبول")))</f>
        <v/>
      </c>
      <c r="C23" s="8" t="inlineStr">
        <is>
          <t>خروجی مدیریتی نهایی</t>
        </is>
      </c>
    </row>
    <row r="24">
      <c r="A24" s="8" t="inlineStr">
        <is>
          <t>توصیه عملیاتی نهایی</t>
        </is>
      </c>
      <c r="B24" s="8">
        <f>IF(OR(B16&gt;70,B12&lt;0),"رد معامله؛ ریسک یا زیان خالص برای صاحب کارت بیش از حد قابل قبول است.",IF(B16&gt;=46,"فقط در صورت دریافت وثیقه کافی، تأیید مالیاتی/گمرکی و کنترل کامل اسناد قابل بررسی است.",IF(B16&gt;=21,"قابل بررسی با اخذ تضمین، قرارداد دقیق، تعیین تکلیف VAT، اینتاکد و فاکتور داخلی.","از نظر مدیریتی قابل قبول است، مشروط به تأیید نهایی حسابدار، مشاور مالیاتی و کنترل اسناد.")))</f>
        <v/>
      </c>
      <c r="C24" s="8" t="inlineStr">
        <is>
          <t>متن قابل استفاده برای تصمیم مدیریتی</t>
        </is>
      </c>
    </row>
    <row r="25">
      <c r="A25" s="9" t="inlineStr">
        <is>
          <t>بخش: ریسک‌های باز مهم</t>
        </is>
      </c>
      <c r="B25" s="2" t="inlineStr"/>
      <c r="C25" s="2" t="inlineStr">
        <is>
          <t>سه کنترل انجام‌نشده با بیشترین وزن ریسک</t>
        </is>
      </c>
    </row>
    <row r="26">
      <c r="A26" s="2" t="inlineStr">
        <is>
          <t>ریسک باز مهم ۱</t>
        </is>
      </c>
      <c r="B26" s="2">
        <f>IF(B17=0,"همه کنترل‌های اصلی انجام شده‌اند.",INDEX(SORTBY(FILTER('چک‌لیست ریسک'!A2:A21,'چک‌لیست ریسک'!B2:B21="خیر"),FILTER('چک‌لیست ریسک'!C2:C21,'چک‌لیست ریسک'!B2:B21="خیر"),-1),1))</f>
        <v/>
      </c>
      <c r="C26" s="2" t="inlineStr">
        <is>
          <t>بالاترین وزن</t>
        </is>
      </c>
    </row>
    <row r="27">
      <c r="A27" s="2" t="inlineStr">
        <is>
          <t>ریسک باز مهم ۲</t>
        </is>
      </c>
      <c r="B27" s="2">
        <f>IF(B17&lt;2,"",INDEX(SORTBY(FILTER('چک‌لیست ریسک'!A2:A21,'چک‌لیست ریسک'!B2:B21="خیر"),FILTER('چک‌لیست ریسک'!C2:C21,'چک‌لیست ریسک'!B2:B21="خیر"),-1),2))</f>
        <v/>
      </c>
      <c r="C27" s="2" t="inlineStr">
        <is>
          <t>دومین وزن</t>
        </is>
      </c>
    </row>
    <row r="28">
      <c r="A28" s="2" t="inlineStr">
        <is>
          <t>ریسک باز مهم ۳</t>
        </is>
      </c>
      <c r="B28" s="2">
        <f>IF(B17&lt;3,"",INDEX(SORTBY(FILTER('چک‌لیست ریسک'!A2:A21,'چک‌لیست ریسک'!B2:B21="خیر"),FILTER('چک‌لیست ریسک'!C2:C21,'چک‌لیست ریسک'!B2:B21="خیر"),-1),3))</f>
        <v/>
      </c>
      <c r="C28" s="2" t="inlineStr">
        <is>
          <t>سومین وزن</t>
        </is>
      </c>
    </row>
    <row r="29">
      <c r="A29" s="9" t="inlineStr">
        <is>
          <t>بخش: تحلیل حداقل کارمزد قابل قبول</t>
        </is>
      </c>
      <c r="B29" s="2" t="inlineStr"/>
      <c r="C29" s="2" t="inlineStr">
        <is>
          <t>تحلیل پوشش هزینه‌ها و ریسک مستقیم صاحب کارت</t>
        </is>
      </c>
    </row>
    <row r="30">
      <c r="A30" s="2" t="inlineStr">
        <is>
          <t>کارمزد فعلی هر دلار</t>
        </is>
      </c>
      <c r="B30" s="3">
        <f>'ورودی‌های معامله'!B10</f>
        <v/>
      </c>
      <c r="C30" s="2" t="inlineStr">
        <is>
          <t>تومان برای هر دلار</t>
        </is>
      </c>
    </row>
    <row r="31">
      <c r="A31" s="2" t="inlineStr">
        <is>
          <t>کارمزد ناخالص کل</t>
        </is>
      </c>
      <c r="B31" s="3">
        <f>B4</f>
        <v/>
      </c>
      <c r="C31" s="2" t="inlineStr">
        <is>
          <t>جمع کارمزد ناخالص</t>
        </is>
      </c>
    </row>
    <row r="32">
      <c r="A32" s="2" t="inlineStr">
        <is>
          <t>کارمزد خالص پس از مالیات و هزینه‌های مستقیم</t>
        </is>
      </c>
      <c r="B32" s="3">
        <f>B12-'ورودی‌های معامله'!B11</f>
        <v/>
      </c>
      <c r="C32" s="2" t="inlineStr">
        <is>
          <t>بدون منفعت رفع تعهد ارزی</t>
        </is>
      </c>
    </row>
    <row r="33">
      <c r="A33" s="2" t="inlineStr">
        <is>
          <t>منفعت خالص به ازای هر دلار</t>
        </is>
      </c>
      <c r="B33" s="2">
        <f>B13</f>
        <v/>
      </c>
      <c r="C33" s="2" t="inlineStr">
        <is>
          <t>تومان برای هر دلار</t>
        </is>
      </c>
    </row>
    <row r="34">
      <c r="A34" s="2" t="inlineStr">
        <is>
          <t>حداقل کارمزد پیشنهادی هر دلار برای پوشش مالیات، هزینه اداری و ذخیره ریسک مستقیم صاحب کارت</t>
        </is>
      </c>
      <c r="B34" s="3">
        <f>(B11+'سناریوهای مالیات عملکرد'!B8+'سناریوهای مالیات عملکرد'!B9)/'ورودی‌های معامله'!B2</f>
        <v/>
      </c>
      <c r="C34" s="2" t="inlineStr">
        <is>
          <t>فرمول پیشنهادی مدیریتی</t>
        </is>
      </c>
    </row>
    <row r="35">
      <c r="A35" s="2" t="inlineStr">
        <is>
          <t>فاصله کارمزد فعلی با حداقل کارمزد پیشنهادی</t>
        </is>
      </c>
      <c r="B35" s="3">
        <f>B30-B34</f>
        <v/>
      </c>
      <c r="C35" s="2" t="inlineStr">
        <is>
          <t>مثبت یعنی کارمزد فعلی بالاتر از حداقل است</t>
        </is>
      </c>
    </row>
    <row r="36">
      <c r="A36" s="6" t="inlineStr">
        <is>
          <t>هشدار کف کارمزد</t>
        </is>
      </c>
      <c r="B36" s="7">
        <f>IF(B35&lt;0,"کارمزد فعلی برای پوشش هزینه‌ها و ریسک‌های مستقیم صاحب کارت کافی نیست.","کارمزد فعلی هزینه‌ها و ریسک‌های مستقیم صاحب کارت را پوشش می‌دهد.")</f>
        <v/>
      </c>
      <c r="C36" s="6" t="inlineStr">
        <is>
          <t>کنترل کف کارمزد</t>
        </is>
      </c>
    </row>
    <row r="37">
      <c r="A37" s="6" t="inlineStr">
        <is>
          <t>هشدار VAT</t>
        </is>
      </c>
      <c r="B37" s="6" t="inlineStr"/>
      <c r="C37" s="6" t="inlineStr">
        <is>
          <t>حتی در صورت تهاتر، VAT فروش داخلی باید در صورتحساب داخلی درج شود مگر کالا معاف باشد.</t>
        </is>
      </c>
    </row>
    <row r="38">
      <c r="A38" s="6" t="inlineStr">
        <is>
          <t>هشدار کنترل سامانه</t>
        </is>
      </c>
      <c r="B38" s="6" t="inlineStr"/>
      <c r="C38" s="6" t="inlineStr">
        <is>
          <t>صاحب کارت نباید کنترل دسترسی سامانه جامع تجارت را از دست بدهد.</t>
        </is>
      </c>
    </row>
    <row r="39">
      <c r="A39" s="6" t="inlineStr">
        <is>
          <t>هشدار وثیقه</t>
        </is>
      </c>
      <c r="B39" s="6" t="inlineStr"/>
      <c r="C39" s="6" t="inlineStr">
        <is>
          <t>هیچ معامله‌ای بدون وثیقه پوشش‌دهنده VAT، مالیات، گمرک و رفع تعهد ارزی انجام نشود.</t>
        </is>
      </c>
    </row>
  </sheetData>
  <conditionalFormatting sqref="B23">
    <cfRule type="expression" priority="1" dxfId="0">
      <formula>B23="قابل قبول"</formula>
    </cfRule>
    <cfRule type="expression" priority="2" dxfId="1">
      <formula>B23="نیازمند تضمین و کنترل تکمیلی"</formula>
    </cfRule>
    <cfRule type="expression" priority="3" dxfId="2">
      <formula>B23="رد معامله"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2026-06-05T16:16:47Z</dcterms:created>
  <dcterms:modified xsi:type="dcterms:W3CDTF">2026-06-05T16:16:47Z</dcterms:modified>
</cp:coreProperties>
</file>